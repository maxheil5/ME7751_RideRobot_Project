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79" documentId="11_3C4179B01545E19DD6C385890107473B0B440F85" xr6:coauthVersionLast="47" xr6:coauthVersionMax="47" xr10:uidLastSave="{B1041253-6053-4B78-84BC-2B601AA695A3}"/>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I5" i="11" l="1"/>
  <c r="H49" i="11"/>
  <c r="H48" i="11"/>
  <c r="H26" i="11"/>
  <c r="H20" i="11"/>
  <c r="H14" i="11"/>
  <c r="H8" i="11"/>
  <c r="H21" i="11" l="1"/>
  <c r="H22" i="11"/>
  <c r="H9" i="11"/>
  <c r="I6" i="11"/>
  <c r="H31" i="11" l="1"/>
  <c r="H28" i="11"/>
  <c r="H30" i="11"/>
  <c r="H27" i="11"/>
  <c r="H25" i="11"/>
  <c r="H10" i="11"/>
  <c r="H23" i="11"/>
  <c r="H15" i="11"/>
  <c r="H13" i="11"/>
  <c r="J5" i="11"/>
  <c r="K5" i="11" s="1"/>
  <c r="L5" i="11" s="1"/>
  <c r="M5" i="11" s="1"/>
  <c r="N5" i="11" s="1"/>
  <c r="O5" i="11" s="1"/>
  <c r="P5" i="11" s="1"/>
  <c r="I4" i="11"/>
  <c r="H29" i="11" l="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<sst xmlns="http://schemas.openxmlformats.org/spreadsheetml/2006/main" count="98" uniqueCount="65">
  <si>
    <t>Robot Project</t>
  </si>
  <si>
    <t>Project start:</t>
  </si>
  <si>
    <t>Max Heil</t>
  </si>
  <si>
    <t>Display week:</t>
  </si>
  <si>
    <t>TASK</t>
  </si>
  <si>
    <t>ASSIGNED TO</t>
  </si>
  <si>
    <t>PROGRESS</t>
  </si>
  <si>
    <t>START</t>
  </si>
  <si>
    <t>END</t>
  </si>
  <si>
    <t xml:space="preserve">Do not delete this row. This row is hidden to preserve a formula that is used to highlight the current day within the project schedule. </t>
  </si>
  <si>
    <t>PHASE 0 — Project Management &amp; Setup</t>
  </si>
  <si>
    <t>Repo + folder structure committed</t>
  </si>
  <si>
    <t>Roadmap &amp; scope drafted</t>
  </si>
  <si>
    <t>Robot selection + DH source locked</t>
  </si>
  <si>
    <t>Verification plan + tolerances defined</t>
  </si>
  <si>
    <t>Milestone — Scope locked</t>
  </si>
  <si>
    <t>Milestone — DH table locked</t>
  </si>
  <si>
    <t>PHASE 1 — Forward Kinematics (FK)</t>
  </si>
  <si>
    <t>FK derivation</t>
  </si>
  <si>
    <t>FK implementation + unit tests</t>
  </si>
  <si>
    <t>FK validation vs reference tool</t>
  </si>
  <si>
    <t>Milestone — FK verified</t>
  </si>
  <si>
    <t>PHASE 2 — Inverse Kinematics (IK)</t>
  </si>
  <si>
    <t>IK derivation</t>
  </si>
  <si>
    <t>IK implementation</t>
  </si>
  <si>
    <t>Branch enumeration + singularity handling documented</t>
  </si>
  <si>
    <t>Milestone — IK implemented</t>
  </si>
  <si>
    <t>PHASE 3 — Verification (IK + round-trip)</t>
  </si>
  <si>
    <t>Round-trip harness: FK→IK→FK tests</t>
  </si>
  <si>
    <t>Cross-check selected cases vs reference screenshots</t>
  </si>
  <si>
    <t>Milestone — IK verified</t>
  </si>
  <si>
    <t>PHASE 4 — Motion Planning App</t>
  </si>
  <si>
    <t>App scaffolding + 3D visualization working</t>
  </si>
  <si>
    <t>MoveJ implementation + joint plots</t>
  </si>
  <si>
    <t>MoveL implementation + plots + error handling</t>
  </si>
  <si>
    <t>App polish + demo scenario script</t>
  </si>
  <si>
    <t>Milestone — App feature-complete</t>
  </si>
  <si>
    <t>PHASE 5 — Documentation &amp; Demo Assets</t>
  </si>
  <si>
    <t>Paper draft</t>
  </si>
  <si>
    <t>Figures/tables + verification results inserted</t>
  </si>
  <si>
    <t>Slides draft + demo plan</t>
  </si>
  <si>
    <t>PHASE 6 — Final QA + Submission</t>
  </si>
  <si>
    <t>Final paper edits + formatting pass</t>
  </si>
  <si>
    <t>Final slides + speaker notes</t>
  </si>
  <si>
    <t>Final repo cleanup + run instructions verified</t>
  </si>
  <si>
    <t>Submission package assembled + uploaded</t>
  </si>
  <si>
    <t>Milestone — Paper final</t>
  </si>
  <si>
    <t>Milestone — Slides final</t>
  </si>
  <si>
    <t>Milestone — Submission complete</t>
  </si>
  <si>
    <t>Milestone — Presentations begin (time TBD)</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</si>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</sst>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m/d/yy"/>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4" fillId="0" borderId="4" xfId="0" applyFont="1" applyBorder="1" applyAlignment="1">
      <alignment vertical="center"/>
    </xf>
    <xf numFmtId="0" fontId="19" fillId="3" borderId="7" xfId="12" applyFont="1" applyFill="1" applyBorder="1">
      <alignment horizontal="left" vertical="center" indent="2"/>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4" borderId="5" xfId="12" applyFont="1" applyFill="1" applyBorder="1">
      <alignment horizontal="left" vertical="center" indent="2"/>
    </xf>
    <xf numFmtId="0" fontId="23" fillId="8" borderId="0" xfId="0" applyFont="1" applyFill="1" applyAlignment="1">
      <alignment horizontal="left" vertical="center" indent="1"/>
    </xf>
    <xf numFmtId="0" fontId="4" fillId="0" borderId="11" xfId="0" applyFont="1" applyBorder="1" applyAlignment="1">
      <alignment vertical="center"/>
    </xf>
    <xf numFmtId="0" fontId="19" fillId="5" borderId="8" xfId="12" applyFont="1" applyFill="1" applyBorder="1">
      <alignment horizontal="left" vertical="center" indent="2"/>
    </xf>
    <xf numFmtId="0" fontId="23" fillId="9" borderId="0" xfId="0" applyFont="1" applyFill="1" applyAlignment="1">
      <alignment horizontal="left" vertical="center" indent="1"/>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10" borderId="0" xfId="12" applyFont="1" applyFill="1" applyBorder="1">
      <alignment horizontal="left" vertical="center" indent="2"/>
    </xf>
    <xf numFmtId="9" fontId="1" fillId="3" borderId="7" xfId="2" applyFont="1" applyFill="1" applyBorder="1" applyAlignment="1">
      <alignment horizontal="center" vertical="center"/>
    </xf>
    <xf numFmtId="9" fontId="1" fillId="7" borderId="0" xfId="2" applyFont="1" applyFill="1" applyBorder="1" applyAlignment="1">
      <alignment horizontal="center" vertical="center"/>
    </xf>
    <xf numFmtId="9" fontId="1" fillId="4" borderId="5" xfId="2" applyFont="1" applyFill="1" applyBorder="1" applyAlignment="1">
      <alignment horizontal="center" vertical="center"/>
    </xf>
    <xf numFmtId="9" fontId="1" fillId="8" borderId="0" xfId="2" applyFont="1" applyFill="1" applyBorder="1" applyAlignment="1">
      <alignment horizontal="center" vertical="center"/>
    </xf>
    <xf numFmtId="9" fontId="1" fillId="5" borderId="8" xfId="2" applyFont="1" applyFill="1" applyBorder="1" applyAlignment="1">
      <alignment horizontal="center" vertical="center"/>
    </xf>
    <xf numFmtId="9" fontId="1" fillId="9" borderId="0" xfId="2" applyFont="1" applyFill="1" applyBorder="1" applyAlignment="1">
      <alignment horizontal="center" vertical="center"/>
    </xf>
    <xf numFmtId="9" fontId="1" fillId="10" borderId="9" xfId="2" applyFont="1" applyFill="1" applyBorder="1" applyAlignment="1">
      <alignment horizontal="center" vertical="center"/>
    </xf>
    <xf numFmtId="9" fontId="1" fillId="10" borderId="0" xfId="2" applyFont="1" applyFill="1" applyBorder="1" applyAlignment="1">
      <alignment horizontal="center" vertical="center"/>
    </xf>
    <xf numFmtId="168" fontId="19" fillId="3" borderId="6" xfId="10" applyNumberFormat="1" applyFont="1" applyFill="1" applyBorder="1">
      <alignment horizontal="center" vertical="center"/>
    </xf>
    <xf numFmtId="168" fontId="19" fillId="3" borderId="7" xfId="10" applyNumberFormat="1" applyFont="1" applyFill="1" applyBorder="1">
      <alignment horizontal="center" vertical="center"/>
    </xf>
    <xf numFmtId="168" fontId="19" fillId="7" borderId="0" xfId="0" applyNumberFormat="1" applyFont="1" applyFill="1" applyAlignment="1">
      <alignment horizontal="center" vertical="center"/>
    </xf>
    <xf numFmtId="168" fontId="19" fillId="4" borderId="5" xfId="10" applyNumberFormat="1" applyFont="1" applyFill="1" applyBorder="1">
      <alignment horizontal="center" vertical="center"/>
    </xf>
    <xf numFmtId="168" fontId="19" fillId="8" borderId="0" xfId="0" applyNumberFormat="1" applyFont="1" applyFill="1" applyAlignment="1">
      <alignment horizontal="center" vertical="center"/>
    </xf>
    <xf numFmtId="168" fontId="19" fillId="5" borderId="8" xfId="10" applyNumberFormat="1" applyFont="1" applyFill="1" applyBorder="1">
      <alignment horizontal="center" vertical="center"/>
    </xf>
    <xf numFmtId="168" fontId="19" fillId="9" borderId="0" xfId="0" applyNumberFormat="1" applyFont="1" applyFill="1" applyAlignment="1">
      <alignment horizontal="center" vertical="center"/>
    </xf>
    <xf numFmtId="168" fontId="19" fillId="10" borderId="9" xfId="10" applyNumberFormat="1" applyFont="1" applyFill="1" applyBorder="1">
      <alignment horizontal="center" vertical="center"/>
    </xf>
    <xf numFmtId="168" fontId="19" fillId="10" borderId="0" xfId="10" applyNumberFormat="1" applyFont="1" applyFill="1" applyBorder="1">
      <alignment horizontal="center" vertical="center"/>
    </xf>
    <xf numFmtId="168" fontId="1" fillId="7" borderId="0" xfId="0" applyNumberFormat="1" applyFont="1" applyFill="1" applyAlignment="1">
      <alignment horizontal="center" vertical="center"/>
    </xf>
    <xf numFmtId="168" fontId="1" fillId="8" borderId="0" xfId="0" applyNumberFormat="1" applyFont="1" applyFill="1" applyAlignment="1">
      <alignment horizontal="center" vertical="center"/>
    </xf>
    <xf numFmtId="168" fontId="1" fillId="9" borderId="0" xfId="0" applyNumberFormat="1" applyFont="1" applyFill="1" applyAlignment="1">
      <alignment horizontal="center" vertical="center"/>
    </xf>
    <xf numFmtId="168" fontId="19" fillId="6" borderId="0" xfId="0" applyNumberFormat="1" applyFont="1" applyFill="1" applyAlignment="1">
      <alignment horizontal="center" vertical="center"/>
    </xf>
    <xf numFmtId="168" fontId="1" fillId="6" borderId="0" xfId="0" applyNumberFormat="1" applyFont="1" applyFill="1" applyAlignment="1">
      <alignment horizontal="center" vertical="center"/>
    </xf>
    <xf numFmtId="9" fontId="1" fillId="6" borderId="0" xfId="2" applyFont="1" applyFill="1" applyBorder="1" applyAlignment="1">
      <alignment horizontal="center" vertical="center"/>
    </xf>
    <xf numFmtId="0" fontId="19" fillId="3" borderId="6" xfId="11" applyFont="1" applyFill="1" applyBorder="1">
      <alignment horizontal="center" vertical="center"/>
    </xf>
    <xf numFmtId="0" fontId="19" fillId="3" borderId="7" xfId="11" applyFont="1" applyFill="1" applyBorder="1">
      <alignment horizontal="center" vertical="center"/>
    </xf>
    <xf numFmtId="0" fontId="19" fillId="7" borderId="0" xfId="11" applyFont="1" applyFill="1" applyBorder="1">
      <alignment horizontal="center" vertical="center"/>
    </xf>
    <xf numFmtId="0" fontId="19" fillId="4" borderId="5" xfId="11" applyFont="1" applyFill="1" applyBorder="1">
      <alignment horizontal="center" vertical="center"/>
    </xf>
    <xf numFmtId="0" fontId="19" fillId="8" borderId="0" xfId="11" applyFont="1" applyFill="1" applyBorder="1">
      <alignment horizontal="center" vertical="center"/>
    </xf>
    <xf numFmtId="0" fontId="19" fillId="5" borderId="8" xfId="11" applyFont="1" applyFill="1" applyBorder="1">
      <alignment horizontal="center" vertical="center"/>
    </xf>
    <xf numFmtId="0" fontId="19" fillId="9" borderId="0" xfId="11" applyFont="1" applyFill="1" applyBorder="1">
      <alignment horizontal="center" vertical="center"/>
    </xf>
    <xf numFmtId="0" fontId="19" fillId="10" borderId="9" xfId="11" applyFont="1" applyFill="1" applyBorder="1">
      <alignment horizontal="center" vertical="center"/>
    </xf>
    <xf numFmtId="0" fontId="19" fillId="10" borderId="0" xfId="11" applyFont="1" applyFill="1" applyBorder="1">
      <alignment horizontal="center" vertical="center"/>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9" fontId="1" fillId="3" borderId="6" xfId="2" applyNumberFormat="1" applyFont="1" applyFill="1" applyBorder="1" applyAlignment="1">
      <alignment horizontal="center"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2"/>
  <sheetViews>
    <sheetView showGridLines="0" tabSelected="1" showRuler="0" zoomScaleNormal="100" zoomScalePageLayoutView="70" workbookViewId="0">
      <selection activeCell="I28" sqref="I28"/>
    </sheetView>
  </sheetViews>
  <sheetFormatPr defaultColWidth="8.75" defaultRowHeight="30" customHeight="1"/>
  <cols>
    <col min="1" max="1" width="2.75" style="13" customWidth="1"/>
    <col min="2" max="2" width="38.375" customWidth="1"/>
    <col min="3" max="3" width="16.75" customWidth="1"/>
    <col min="4" max="4" width="10.75" customWidth="1"/>
    <col min="5" max="5" width="10.75" style="2" customWidth="1"/>
    <col min="6" max="6" width="10.75" customWidth="1"/>
    <col min="7" max="7" width="2.75" customWidth="1"/>
    <col min="8" max="8" width="6" hidden="1" customWidth="1"/>
    <col min="9" max="29" width="8.5" customWidth="1"/>
    <col min="30" max="65" width="2.75" customWidth="1"/>
  </cols>
  <sheetData>
    <row r="1" spans="1:64" ht="90" customHeight="1">
      <c r="A1" s="14"/>
      <c r="B1" s="68" t="s">
        <v>0</v>
      </c>
      <c r="C1" s="18"/>
      <c r="D1" s="19"/>
      <c r="E1" s="20"/>
      <c r="F1" s="21"/>
      <c r="H1" s="1"/>
      <c r="I1" s="116" t="s">
        <v>1</v>
      </c>
      <c r="J1" s="121"/>
      <c r="K1" s="121"/>
      <c r="L1" s="121"/>
      <c r="M1" s="121"/>
      <c r="N1" s="121"/>
      <c r="O1" s="121"/>
      <c r="P1" s="24"/>
      <c r="Q1" s="115">
        <f ca="1">TODAY()</f>
        <v>46074</v>
      </c>
      <c r="R1" s="122"/>
      <c r="S1" s="122"/>
      <c r="T1" s="122"/>
      <c r="U1" s="122"/>
      <c r="V1" s="122"/>
      <c r="W1" s="122"/>
      <c r="X1" s="122"/>
      <c r="Y1" s="122"/>
      <c r="Z1" s="122"/>
    </row>
    <row r="2" spans="1:64" ht="30" customHeight="1">
      <c r="B2" s="66" t="s">
        <v>2</v>
      </c>
      <c r="C2" s="67"/>
      <c r="D2" s="22"/>
      <c r="E2" s="23"/>
      <c r="F2" s="22"/>
      <c r="I2" s="116" t="s">
        <v>3</v>
      </c>
      <c r="J2" s="121"/>
      <c r="K2" s="121"/>
      <c r="L2" s="121"/>
      <c r="M2" s="121"/>
      <c r="N2" s="121"/>
      <c r="O2" s="121"/>
      <c r="P2" s="24"/>
      <c r="Q2" s="114">
        <v>1</v>
      </c>
      <c r="R2" s="122"/>
      <c r="S2" s="122"/>
      <c r="T2" s="122"/>
      <c r="U2" s="122"/>
      <c r="V2" s="122"/>
      <c r="W2" s="122"/>
      <c r="X2" s="122"/>
      <c r="Y2" s="122"/>
      <c r="Z2" s="122"/>
    </row>
    <row r="3" spans="1:64" s="26" customFormat="1" ht="30" customHeight="1">
      <c r="A3" s="13"/>
      <c r="B3" s="25"/>
      <c r="D3" s="27"/>
      <c r="E3" s="28"/>
    </row>
    <row r="4" spans="1:64" s="26" customFormat="1" ht="30" customHeight="1">
      <c r="A4" s="14"/>
      <c r="B4" s="29"/>
      <c r="E4" s="30"/>
      <c r="I4" s="119">
        <f ca="1">I5</f>
        <v>46069</v>
      </c>
      <c r="J4" s="117"/>
      <c r="K4" s="117"/>
      <c r="L4" s="117"/>
      <c r="M4" s="117"/>
      <c r="N4" s="117"/>
      <c r="O4" s="117"/>
      <c r="P4" s="117">
        <f ca="1">P5</f>
        <v>46076</v>
      </c>
      <c r="Q4" s="117"/>
      <c r="R4" s="117"/>
      <c r="S4" s="117"/>
      <c r="T4" s="117"/>
      <c r="U4" s="117"/>
      <c r="V4" s="117"/>
      <c r="W4" s="117">
        <f ca="1">W5</f>
        <v>46083</v>
      </c>
      <c r="X4" s="117"/>
      <c r="Y4" s="117"/>
      <c r="Z4" s="117"/>
      <c r="AA4" s="117"/>
      <c r="AB4" s="117"/>
      <c r="AC4" s="117"/>
      <c r="AD4" s="117">
        <f ca="1">AD5</f>
        <v>46090</v>
      </c>
      <c r="AE4" s="117"/>
      <c r="AF4" s="117"/>
      <c r="AG4" s="117"/>
      <c r="AH4" s="117"/>
      <c r="AI4" s="117"/>
      <c r="AJ4" s="117"/>
      <c r="AK4" s="117">
        <f ca="1">AK5</f>
        <v>46097</v>
      </c>
      <c r="AL4" s="117"/>
      <c r="AM4" s="117"/>
      <c r="AN4" s="117"/>
      <c r="AO4" s="117"/>
      <c r="AP4" s="117"/>
      <c r="AQ4" s="117"/>
      <c r="AR4" s="117">
        <f ca="1">AR5</f>
        <v>46104</v>
      </c>
      <c r="AS4" s="117"/>
      <c r="AT4" s="117"/>
      <c r="AU4" s="117"/>
      <c r="AV4" s="117"/>
      <c r="AW4" s="117"/>
      <c r="AX4" s="117"/>
      <c r="AY4" s="117">
        <f ca="1">AY5</f>
        <v>46111</v>
      </c>
      <c r="AZ4" s="117"/>
      <c r="BA4" s="117"/>
      <c r="BB4" s="117"/>
      <c r="BC4" s="117"/>
      <c r="BD4" s="117"/>
      <c r="BE4" s="117"/>
      <c r="BF4" s="117">
        <f ca="1">BF5</f>
        <v>46118</v>
      </c>
      <c r="BG4" s="117"/>
      <c r="BH4" s="117"/>
      <c r="BI4" s="117"/>
      <c r="BJ4" s="117"/>
      <c r="BK4" s="117"/>
      <c r="BL4" s="118"/>
    </row>
    <row r="5" spans="1:64" s="26" customFormat="1" ht="15" customHeight="1">
      <c r="A5" s="109"/>
      <c r="B5" s="110" t="s">
        <v>4</v>
      </c>
      <c r="C5" s="112" t="s">
        <v>5</v>
      </c>
      <c r="D5" s="113" t="s">
        <v>6</v>
      </c>
      <c r="E5" s="113" t="s">
        <v>7</v>
      </c>
      <c r="F5" s="113" t="s">
        <v>8</v>
      </c>
      <c r="I5" s="31">
        <f ca="1">Project_Start-WEEKDAY(Project_Start,1)+2+7*(Display_Week-1)</f>
        <v>46069</v>
      </c>
      <c r="J5" s="31">
        <f ca="1">I5+1</f>
        <v>46070</v>
      </c>
      <c r="K5" s="31">
        <f t="shared" ref="K5:AX5" ca="1" si="0">J5+1</f>
        <v>46071</v>
      </c>
      <c r="L5" s="31">
        <f t="shared" ca="1" si="0"/>
        <v>46072</v>
      </c>
      <c r="M5" s="31">
        <f t="shared" ca="1" si="0"/>
        <v>46073</v>
      </c>
      <c r="N5" s="31">
        <f t="shared" ca="1" si="0"/>
        <v>46074</v>
      </c>
      <c r="O5" s="32">
        <f t="shared" ca="1" si="0"/>
        <v>46075</v>
      </c>
      <c r="P5" s="33">
        <f ca="1">O5+1</f>
        <v>46076</v>
      </c>
      <c r="Q5" s="31">
        <f ca="1">P5+1</f>
        <v>46077</v>
      </c>
      <c r="R5" s="31">
        <f t="shared" ca="1" si="0"/>
        <v>46078</v>
      </c>
      <c r="S5" s="31">
        <f t="shared" ca="1" si="0"/>
        <v>46079</v>
      </c>
      <c r="T5" s="31">
        <f t="shared" ca="1" si="0"/>
        <v>46080</v>
      </c>
      <c r="U5" s="31">
        <f t="shared" ca="1" si="0"/>
        <v>46081</v>
      </c>
      <c r="V5" s="32">
        <f t="shared" ca="1" si="0"/>
        <v>46082</v>
      </c>
      <c r="W5" s="33">
        <f ca="1">V5+1</f>
        <v>46083</v>
      </c>
      <c r="X5" s="31">
        <f ca="1">W5+1</f>
        <v>46084</v>
      </c>
      <c r="Y5" s="31">
        <f t="shared" ca="1" si="0"/>
        <v>46085</v>
      </c>
      <c r="Z5" s="31">
        <f t="shared" ca="1" si="0"/>
        <v>46086</v>
      </c>
      <c r="AA5" s="31">
        <f t="shared" ca="1" si="0"/>
        <v>46087</v>
      </c>
      <c r="AB5" s="31">
        <f t="shared" ca="1" si="0"/>
        <v>46088</v>
      </c>
      <c r="AC5" s="32">
        <f t="shared" ca="1" si="0"/>
        <v>46089</v>
      </c>
      <c r="AD5" s="33">
        <f ca="1">AC5+1</f>
        <v>46090</v>
      </c>
      <c r="AE5" s="31">
        <f ca="1">AD5+1</f>
        <v>46091</v>
      </c>
      <c r="AF5" s="31">
        <f t="shared" ca="1" si="0"/>
        <v>46092</v>
      </c>
      <c r="AG5" s="31">
        <f t="shared" ca="1" si="0"/>
        <v>46093</v>
      </c>
      <c r="AH5" s="31">
        <f t="shared" ca="1" si="0"/>
        <v>46094</v>
      </c>
      <c r="AI5" s="31">
        <f t="shared" ca="1" si="0"/>
        <v>46095</v>
      </c>
      <c r="AJ5" s="32">
        <f t="shared" ca="1" si="0"/>
        <v>46096</v>
      </c>
      <c r="AK5" s="33">
        <f ca="1">AJ5+1</f>
        <v>46097</v>
      </c>
      <c r="AL5" s="31">
        <f ca="1">AK5+1</f>
        <v>46098</v>
      </c>
      <c r="AM5" s="31">
        <f t="shared" ca="1" si="0"/>
        <v>46099</v>
      </c>
      <c r="AN5" s="31">
        <f t="shared" ca="1" si="0"/>
        <v>46100</v>
      </c>
      <c r="AO5" s="31">
        <f t="shared" ca="1" si="0"/>
        <v>46101</v>
      </c>
      <c r="AP5" s="31">
        <f t="shared" ca="1" si="0"/>
        <v>46102</v>
      </c>
      <c r="AQ5" s="32">
        <f t="shared" ca="1" si="0"/>
        <v>46103</v>
      </c>
      <c r="AR5" s="33">
        <f ca="1">AQ5+1</f>
        <v>46104</v>
      </c>
      <c r="AS5" s="31">
        <f ca="1">AR5+1</f>
        <v>46105</v>
      </c>
      <c r="AT5" s="31">
        <f t="shared" ca="1" si="0"/>
        <v>46106</v>
      </c>
      <c r="AU5" s="31">
        <f t="shared" ca="1" si="0"/>
        <v>46107</v>
      </c>
      <c r="AV5" s="31">
        <f t="shared" ca="1" si="0"/>
        <v>46108</v>
      </c>
      <c r="AW5" s="31">
        <f t="shared" ca="1" si="0"/>
        <v>46109</v>
      </c>
      <c r="AX5" s="32">
        <f t="shared" ca="1" si="0"/>
        <v>46110</v>
      </c>
      <c r="AY5" s="33">
        <f ca="1">AX5+1</f>
        <v>46111</v>
      </c>
      <c r="AZ5" s="31">
        <f ca="1">AY5+1</f>
        <v>46112</v>
      </c>
      <c r="BA5" s="31">
        <f t="shared" ref="BA5:BE5" ca="1" si="1">AZ5+1</f>
        <v>46113</v>
      </c>
      <c r="BB5" s="31">
        <f t="shared" ca="1" si="1"/>
        <v>46114</v>
      </c>
      <c r="BC5" s="31">
        <f t="shared" ca="1" si="1"/>
        <v>46115</v>
      </c>
      <c r="BD5" s="31">
        <f t="shared" ca="1" si="1"/>
        <v>46116</v>
      </c>
      <c r="BE5" s="32">
        <f t="shared" ca="1" si="1"/>
        <v>46117</v>
      </c>
      <c r="BF5" s="33">
        <f ca="1">BE5+1</f>
        <v>46118</v>
      </c>
      <c r="BG5" s="31">
        <f ca="1">BF5+1</f>
        <v>46119</v>
      </c>
      <c r="BH5" s="31">
        <f t="shared" ref="BH5:BL5" ca="1" si="2">BG5+1</f>
        <v>46120</v>
      </c>
      <c r="BI5" s="31">
        <f t="shared" ca="1" si="2"/>
        <v>46121</v>
      </c>
      <c r="BJ5" s="31">
        <f t="shared" ca="1" si="2"/>
        <v>46122</v>
      </c>
      <c r="BK5" s="31">
        <f t="shared" ca="1" si="2"/>
        <v>46123</v>
      </c>
      <c r="BL5" s="31">
        <f t="shared" ca="1" si="2"/>
        <v>46124</v>
      </c>
    </row>
    <row r="6" spans="1:64" s="26" customFormat="1" ht="15" customHeight="1" thickBot="1">
      <c r="A6" s="109"/>
      <c r="B6" s="111"/>
      <c r="C6" s="123"/>
      <c r="D6" s="123"/>
      <c r="E6" s="123"/>
      <c r="F6" s="123"/>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c r="A7" s="13" t="s">
        <v>9</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3" customFormat="1" ht="30" customHeight="1" thickBot="1">
      <c r="A8" s="14"/>
      <c r="B8" s="40" t="s">
        <v>10</v>
      </c>
      <c r="C8" s="41"/>
      <c r="D8" s="99"/>
      <c r="E8" s="97"/>
      <c r="F8" s="98"/>
      <c r="G8" s="17"/>
      <c r="H8" s="5" t="str">
        <f t="shared" ref="H8:H49" ca="1" si="5">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43" customFormat="1" ht="30" customHeight="1" thickBot="1">
      <c r="A9" s="14"/>
      <c r="B9" s="44" t="s">
        <v>11</v>
      </c>
      <c r="C9" s="100" t="s">
        <v>2</v>
      </c>
      <c r="D9" s="120">
        <v>0</v>
      </c>
      <c r="E9" s="85">
        <v>46074</v>
      </c>
      <c r="F9" s="85">
        <v>46074</v>
      </c>
      <c r="G9" s="17"/>
      <c r="H9" s="5">
        <f t="shared" ca="1" si="5"/>
        <v>1</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3" customFormat="1" ht="30" customHeight="1" thickBot="1">
      <c r="A10" s="14"/>
      <c r="B10" s="46" t="s">
        <v>12</v>
      </c>
      <c r="C10" s="101" t="s">
        <v>2</v>
      </c>
      <c r="D10" s="77">
        <v>0</v>
      </c>
      <c r="E10" s="86">
        <v>46074</v>
      </c>
      <c r="F10" s="86">
        <v>46074</v>
      </c>
      <c r="G10" s="17"/>
      <c r="H10" s="5">
        <f t="shared" ca="1" si="5"/>
        <v>1</v>
      </c>
      <c r="I10" s="45"/>
      <c r="J10" s="45"/>
      <c r="K10" s="45"/>
      <c r="L10" s="45"/>
      <c r="M10" s="45"/>
      <c r="N10" s="45"/>
      <c r="O10" s="45"/>
      <c r="P10" s="45"/>
      <c r="Q10" s="45"/>
      <c r="R10" s="45"/>
      <c r="S10" s="45"/>
      <c r="T10" s="45"/>
      <c r="U10" s="47"/>
      <c r="V10" s="47"/>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3" customFormat="1" ht="30" customHeight="1" thickBot="1">
      <c r="A11" s="13"/>
      <c r="B11" s="46" t="s">
        <v>13</v>
      </c>
      <c r="C11" s="101" t="s">
        <v>2</v>
      </c>
      <c r="D11" s="77">
        <v>0</v>
      </c>
      <c r="E11" s="86">
        <v>46074</v>
      </c>
      <c r="F11" s="86">
        <v>46075</v>
      </c>
      <c r="G11" s="17"/>
      <c r="H11" s="5">
        <f t="shared" ca="1" si="5"/>
        <v>2</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3" customFormat="1" ht="30" customHeight="1" thickBot="1">
      <c r="A12" s="13"/>
      <c r="B12" s="46" t="s">
        <v>14</v>
      </c>
      <c r="C12" s="101" t="s">
        <v>2</v>
      </c>
      <c r="D12" s="77">
        <v>0</v>
      </c>
      <c r="E12" s="86">
        <v>46075</v>
      </c>
      <c r="F12" s="86">
        <v>46075</v>
      </c>
      <c r="G12" s="17"/>
      <c r="H12" s="5">
        <f t="shared" ca="1" si="5"/>
        <v>1</v>
      </c>
      <c r="I12" s="45"/>
      <c r="J12" s="45"/>
      <c r="K12" s="45"/>
      <c r="L12" s="45"/>
      <c r="M12" s="45"/>
      <c r="N12" s="45"/>
      <c r="O12" s="45"/>
      <c r="P12" s="45"/>
      <c r="Q12" s="45"/>
      <c r="R12" s="45"/>
      <c r="S12" s="45"/>
      <c r="T12" s="45"/>
      <c r="U12" s="45"/>
      <c r="V12" s="45"/>
      <c r="W12" s="45"/>
      <c r="X12" s="45"/>
      <c r="Y12" s="47"/>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row>
    <row r="13" spans="1:64" s="43" customFormat="1" ht="30" customHeight="1" thickBot="1">
      <c r="A13" s="13"/>
      <c r="B13" s="46" t="s">
        <v>15</v>
      </c>
      <c r="C13" s="101" t="s">
        <v>2</v>
      </c>
      <c r="D13" s="77">
        <v>0</v>
      </c>
      <c r="E13" s="86">
        <v>46075</v>
      </c>
      <c r="F13" s="86">
        <v>46075</v>
      </c>
      <c r="G13" s="17"/>
      <c r="H13" s="5">
        <f t="shared" ca="1" si="5"/>
        <v>1</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3" customFormat="1" ht="30" customHeight="1" thickBot="1">
      <c r="A14" s="14"/>
      <c r="B14" s="48" t="s">
        <v>16</v>
      </c>
      <c r="C14" s="102" t="s">
        <v>2</v>
      </c>
      <c r="D14" s="78">
        <v>0</v>
      </c>
      <c r="E14" s="87">
        <v>46075</v>
      </c>
      <c r="F14" s="94">
        <v>46075</v>
      </c>
      <c r="G14" s="17"/>
      <c r="H14" s="5">
        <f t="shared" ca="1" si="5"/>
        <v>1</v>
      </c>
    </row>
    <row r="15" spans="1:64" s="43" customFormat="1" ht="30" customHeight="1" thickBot="1">
      <c r="A15" s="14"/>
      <c r="B15" s="49" t="s">
        <v>17</v>
      </c>
      <c r="C15" s="103"/>
      <c r="D15" s="79"/>
      <c r="E15" s="88"/>
      <c r="F15" s="88"/>
      <c r="G15" s="17"/>
      <c r="H15" s="5" t="str">
        <f t="shared" ca="1" si="5"/>
        <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3" customFormat="1" ht="30" customHeight="1" thickBot="1">
      <c r="A16" s="13"/>
      <c r="B16" s="49" t="s">
        <v>18</v>
      </c>
      <c r="C16" s="103" t="s">
        <v>2</v>
      </c>
      <c r="D16" s="79">
        <v>0</v>
      </c>
      <c r="E16" s="88">
        <v>46076</v>
      </c>
      <c r="F16" s="88">
        <v>46076</v>
      </c>
      <c r="G16" s="17"/>
      <c r="H16" s="5">
        <f t="shared" ca="1" si="5"/>
        <v>1</v>
      </c>
      <c r="I16" s="45"/>
      <c r="J16" s="45"/>
      <c r="K16" s="45"/>
      <c r="L16" s="45"/>
      <c r="M16" s="45"/>
      <c r="N16" s="45"/>
      <c r="O16" s="45"/>
      <c r="P16" s="45"/>
      <c r="Q16" s="45"/>
      <c r="R16" s="45"/>
      <c r="S16" s="45"/>
      <c r="T16" s="45"/>
      <c r="U16" s="47"/>
      <c r="V16" s="47"/>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3" customFormat="1" ht="30" customHeight="1" thickBot="1">
      <c r="A17" s="13"/>
      <c r="B17" s="49" t="s">
        <v>19</v>
      </c>
      <c r="C17" s="103" t="s">
        <v>2</v>
      </c>
      <c r="D17" s="79">
        <v>0</v>
      </c>
      <c r="E17" s="88">
        <v>46076</v>
      </c>
      <c r="F17" s="88">
        <v>46076</v>
      </c>
      <c r="G17" s="17"/>
      <c r="H17" s="5">
        <f t="shared" ca="1" si="5"/>
        <v>1</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3" customFormat="1" ht="30" customHeight="1" thickBot="1">
      <c r="A18" s="13"/>
      <c r="B18" s="49" t="s">
        <v>20</v>
      </c>
      <c r="C18" s="103" t="s">
        <v>2</v>
      </c>
      <c r="D18" s="79">
        <v>0</v>
      </c>
      <c r="E18" s="88">
        <v>46076</v>
      </c>
      <c r="F18" s="88">
        <v>46076</v>
      </c>
      <c r="G18" s="17"/>
      <c r="H18" s="5">
        <f t="shared" ca="1" si="5"/>
        <v>1</v>
      </c>
      <c r="I18" s="45"/>
      <c r="J18" s="45"/>
      <c r="K18" s="45"/>
      <c r="L18" s="45"/>
      <c r="M18" s="45"/>
      <c r="N18" s="45"/>
      <c r="O18" s="45"/>
      <c r="P18" s="45"/>
      <c r="Q18" s="45"/>
      <c r="R18" s="45"/>
      <c r="S18" s="45"/>
      <c r="T18" s="45"/>
      <c r="U18" s="45"/>
      <c r="V18" s="45"/>
      <c r="W18" s="45"/>
      <c r="X18" s="45"/>
      <c r="Y18" s="47"/>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3" customFormat="1" ht="30" customHeight="1" thickBot="1">
      <c r="A19" s="13"/>
      <c r="B19" s="49" t="s">
        <v>21</v>
      </c>
      <c r="C19" s="103" t="s">
        <v>2</v>
      </c>
      <c r="D19" s="79">
        <v>0</v>
      </c>
      <c r="E19" s="88">
        <v>46076</v>
      </c>
      <c r="F19" s="88">
        <v>46076</v>
      </c>
      <c r="G19" s="17"/>
      <c r="H19" s="5">
        <f t="shared" ca="1" si="5"/>
        <v>1</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3" customFormat="1" ht="30" customHeight="1" thickBot="1">
      <c r="A20" s="13"/>
      <c r="B20" s="50" t="s">
        <v>22</v>
      </c>
      <c r="C20" s="104"/>
      <c r="D20" s="80"/>
      <c r="E20" s="89"/>
      <c r="F20" s="95"/>
      <c r="G20" s="17"/>
      <c r="H20" s="5" t="str">
        <f t="shared" ca="1" si="5"/>
        <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3" customFormat="1" ht="30" customHeight="1" thickBot="1">
      <c r="A21" s="13"/>
      <c r="B21" s="52" t="s">
        <v>23</v>
      </c>
      <c r="C21" s="105" t="s">
        <v>2</v>
      </c>
      <c r="D21" s="81">
        <v>0</v>
      </c>
      <c r="E21" s="90">
        <v>46077</v>
      </c>
      <c r="F21" s="90">
        <v>46077</v>
      </c>
      <c r="G21" s="17"/>
      <c r="H21" s="5">
        <f t="shared" ca="1" si="5"/>
        <v>1</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row>
    <row r="22" spans="1:64" s="43" customFormat="1" ht="30" customHeight="1" thickBot="1">
      <c r="A22" s="13"/>
      <c r="B22" s="52" t="s">
        <v>24</v>
      </c>
      <c r="C22" s="105" t="s">
        <v>2</v>
      </c>
      <c r="D22" s="81">
        <v>0</v>
      </c>
      <c r="E22" s="90">
        <v>46077</v>
      </c>
      <c r="F22" s="90">
        <v>46078</v>
      </c>
      <c r="G22" s="17"/>
      <c r="H22" s="5">
        <f t="shared" ca="1" si="5"/>
        <v>2</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3" customFormat="1" ht="30" customHeight="1" thickBot="1">
      <c r="A23" s="13"/>
      <c r="B23" s="52" t="s">
        <v>25</v>
      </c>
      <c r="C23" s="105" t="s">
        <v>2</v>
      </c>
      <c r="D23" s="81">
        <v>0</v>
      </c>
      <c r="E23" s="90">
        <v>46078</v>
      </c>
      <c r="F23" s="90">
        <v>46078</v>
      </c>
      <c r="G23" s="17"/>
      <c r="H23" s="5">
        <f t="shared" ca="1" si="5"/>
        <v>1</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3" customFormat="1" ht="30" customHeight="1" thickBot="1">
      <c r="A24" s="13"/>
      <c r="B24" s="52" t="s">
        <v>26</v>
      </c>
      <c r="C24" s="105" t="s">
        <v>2</v>
      </c>
      <c r="D24" s="81">
        <v>0</v>
      </c>
      <c r="E24" s="90">
        <v>46078</v>
      </c>
      <c r="F24" s="90">
        <v>46078</v>
      </c>
      <c r="G24" s="17"/>
      <c r="H24" s="5">
        <f t="shared" ca="1" si="5"/>
        <v>1</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3" customFormat="1" ht="30" customHeight="1" thickBot="1">
      <c r="A25" s="13"/>
      <c r="B25" s="52" t="s">
        <v>27</v>
      </c>
      <c r="C25" s="105"/>
      <c r="D25" s="81"/>
      <c r="E25" s="90"/>
      <c r="F25" s="90"/>
      <c r="G25" s="17"/>
      <c r="H25" s="5" t="str">
        <f t="shared" ca="1" si="5"/>
        <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3" customFormat="1" ht="30" customHeight="1" thickBot="1">
      <c r="A26" s="13"/>
      <c r="B26" s="53" t="s">
        <v>28</v>
      </c>
      <c r="C26" s="106" t="s">
        <v>2</v>
      </c>
      <c r="D26" s="82">
        <v>0</v>
      </c>
      <c r="E26" s="91">
        <v>46079</v>
      </c>
      <c r="F26" s="96">
        <v>46079</v>
      </c>
      <c r="G26" s="17"/>
      <c r="H26" s="5">
        <f t="shared" ca="1" si="5"/>
        <v>1</v>
      </c>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row>
    <row r="27" spans="1:64" s="43" customFormat="1" ht="30" customHeight="1" thickBot="1">
      <c r="A27" s="13"/>
      <c r="B27" s="55" t="s">
        <v>29</v>
      </c>
      <c r="C27" s="107" t="s">
        <v>2</v>
      </c>
      <c r="D27" s="83">
        <v>0</v>
      </c>
      <c r="E27" s="92">
        <v>46079</v>
      </c>
      <c r="F27" s="92">
        <v>46079</v>
      </c>
      <c r="G27" s="17"/>
      <c r="H27" s="5">
        <f t="shared" ca="1" si="5"/>
        <v>1</v>
      </c>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row>
    <row r="28" spans="1:64" s="43" customFormat="1" ht="30" customHeight="1" thickBot="1">
      <c r="A28" s="13"/>
      <c r="B28" s="55" t="s">
        <v>30</v>
      </c>
      <c r="C28" s="107" t="s">
        <v>2</v>
      </c>
      <c r="D28" s="83">
        <v>0</v>
      </c>
      <c r="E28" s="92">
        <v>46079</v>
      </c>
      <c r="F28" s="92">
        <v>46079</v>
      </c>
      <c r="G28" s="17"/>
      <c r="H28" s="5">
        <f t="shared" ca="1" si="5"/>
        <v>1</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row>
    <row r="29" spans="1:64" s="43" customFormat="1" ht="30" customHeight="1" thickBot="1">
      <c r="A29" s="13"/>
      <c r="B29" s="55" t="s">
        <v>31</v>
      </c>
      <c r="C29" s="107"/>
      <c r="D29" s="83"/>
      <c r="E29" s="92"/>
      <c r="F29" s="92"/>
      <c r="G29" s="17"/>
      <c r="H29" s="5" t="str">
        <f t="shared" ca="1" si="5"/>
        <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row>
    <row r="30" spans="1:64" s="43" customFormat="1" ht="30" customHeight="1" thickBot="1">
      <c r="A30" s="13"/>
      <c r="B30" s="55" t="s">
        <v>32</v>
      </c>
      <c r="C30" s="107" t="s">
        <v>2</v>
      </c>
      <c r="D30" s="83">
        <v>0</v>
      </c>
      <c r="E30" s="92">
        <v>46080</v>
      </c>
      <c r="F30" s="92">
        <v>46080</v>
      </c>
      <c r="G30" s="17"/>
      <c r="H30" s="5">
        <f t="shared" ca="1" si="5"/>
        <v>1</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row>
    <row r="31" spans="1:64" s="43" customFormat="1" ht="30" customHeight="1">
      <c r="A31" s="13"/>
      <c r="B31" s="55" t="s">
        <v>33</v>
      </c>
      <c r="C31" s="107" t="s">
        <v>2</v>
      </c>
      <c r="D31" s="83">
        <v>0</v>
      </c>
      <c r="E31" s="92">
        <v>46080</v>
      </c>
      <c r="F31" s="92">
        <v>46080</v>
      </c>
      <c r="G31" s="17"/>
      <c r="H31" s="5">
        <f t="shared" ca="1" si="5"/>
        <v>1</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s="43" customFormat="1" ht="30" customHeight="1">
      <c r="A32" s="13"/>
      <c r="B32" s="76" t="s">
        <v>34</v>
      </c>
      <c r="C32" s="108" t="s">
        <v>2</v>
      </c>
      <c r="D32" s="84">
        <v>0</v>
      </c>
      <c r="E32" s="93">
        <v>46081</v>
      </c>
      <c r="F32" s="93">
        <v>46081</v>
      </c>
      <c r="G32" s="17"/>
      <c r="H32" s="5"/>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row>
    <row r="33" spans="1:64" s="43" customFormat="1" ht="30" customHeight="1">
      <c r="A33" s="13"/>
      <c r="B33" s="76" t="s">
        <v>35</v>
      </c>
      <c r="C33" s="108" t="s">
        <v>2</v>
      </c>
      <c r="D33" s="84">
        <v>0</v>
      </c>
      <c r="E33" s="93">
        <v>46081</v>
      </c>
      <c r="F33" s="93">
        <v>46081</v>
      </c>
      <c r="G33" s="17"/>
      <c r="H33" s="5"/>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row>
    <row r="34" spans="1:64" s="43" customFormat="1" ht="30" customHeight="1">
      <c r="A34" s="13"/>
      <c r="B34" s="76" t="s">
        <v>36</v>
      </c>
      <c r="C34" s="108" t="s">
        <v>2</v>
      </c>
      <c r="D34" s="84">
        <v>0</v>
      </c>
      <c r="E34" s="93">
        <v>46081</v>
      </c>
      <c r="F34" s="93">
        <v>46081</v>
      </c>
      <c r="G34" s="17"/>
      <c r="H34" s="5"/>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row>
    <row r="35" spans="1:64" s="43" customFormat="1" ht="30" customHeight="1">
      <c r="A35" s="13"/>
      <c r="B35" s="76" t="s">
        <v>37</v>
      </c>
      <c r="C35" s="108"/>
      <c r="D35" s="84"/>
      <c r="E35" s="93"/>
      <c r="F35" s="93"/>
      <c r="G35" s="17"/>
      <c r="H35" s="5"/>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row>
    <row r="36" spans="1:64" s="43" customFormat="1" ht="30" customHeight="1">
      <c r="A36" s="13"/>
      <c r="B36" s="76" t="s">
        <v>38</v>
      </c>
      <c r="C36" s="108" t="s">
        <v>2</v>
      </c>
      <c r="D36" s="84">
        <v>0</v>
      </c>
      <c r="E36" s="93">
        <v>46082</v>
      </c>
      <c r="F36" s="93">
        <v>46082</v>
      </c>
      <c r="G36" s="17"/>
      <c r="H36" s="5"/>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row>
    <row r="37" spans="1:64" s="43" customFormat="1" ht="30" customHeight="1">
      <c r="A37" s="13"/>
      <c r="B37" s="76" t="s">
        <v>39</v>
      </c>
      <c r="C37" s="108" t="s">
        <v>2</v>
      </c>
      <c r="D37" s="84">
        <v>0</v>
      </c>
      <c r="E37" s="93">
        <v>46082</v>
      </c>
      <c r="F37" s="93">
        <v>46082</v>
      </c>
      <c r="G37" s="17"/>
      <c r="H37" s="5"/>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row>
    <row r="38" spans="1:64" s="43" customFormat="1" ht="30" customHeight="1">
      <c r="A38" s="13"/>
      <c r="B38" s="76" t="s">
        <v>40</v>
      </c>
      <c r="C38" s="108" t="s">
        <v>2</v>
      </c>
      <c r="D38" s="84">
        <v>0</v>
      </c>
      <c r="E38" s="93">
        <v>46082</v>
      </c>
      <c r="F38" s="93">
        <v>46082</v>
      </c>
      <c r="G38" s="17"/>
      <c r="H38" s="5"/>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row>
    <row r="39" spans="1:64" s="43" customFormat="1" ht="30" customHeight="1">
      <c r="A39" s="13"/>
      <c r="B39" s="76" t="s">
        <v>41</v>
      </c>
      <c r="C39" s="108"/>
      <c r="D39" s="84"/>
      <c r="E39" s="93"/>
      <c r="F39" s="93"/>
      <c r="G39" s="17"/>
      <c r="H39" s="5"/>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row>
    <row r="40" spans="1:64" s="43" customFormat="1" ht="30" customHeight="1">
      <c r="A40" s="13"/>
      <c r="B40" s="76" t="s">
        <v>42</v>
      </c>
      <c r="C40" s="108" t="s">
        <v>2</v>
      </c>
      <c r="D40" s="84">
        <v>0</v>
      </c>
      <c r="E40" s="93">
        <v>46083</v>
      </c>
      <c r="F40" s="93">
        <v>46083</v>
      </c>
      <c r="G40" s="17"/>
      <c r="H40" s="5"/>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row>
    <row r="41" spans="1:64" s="43" customFormat="1" ht="30" customHeight="1">
      <c r="A41" s="13"/>
      <c r="B41" s="76" t="s">
        <v>43</v>
      </c>
      <c r="C41" s="108" t="s">
        <v>2</v>
      </c>
      <c r="D41" s="84">
        <v>0</v>
      </c>
      <c r="E41" s="93">
        <v>46083</v>
      </c>
      <c r="F41" s="93">
        <v>46083</v>
      </c>
      <c r="G41" s="17"/>
      <c r="H41" s="5"/>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row>
    <row r="42" spans="1:64" s="43" customFormat="1" ht="30" customHeight="1">
      <c r="A42" s="13"/>
      <c r="B42" s="76" t="s">
        <v>44</v>
      </c>
      <c r="C42" s="108" t="s">
        <v>2</v>
      </c>
      <c r="D42" s="84">
        <v>0</v>
      </c>
      <c r="E42" s="93">
        <v>46083</v>
      </c>
      <c r="F42" s="93">
        <v>46083</v>
      </c>
      <c r="G42" s="17"/>
      <c r="H42" s="5"/>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row>
    <row r="43" spans="1:64" s="43" customFormat="1" ht="30" customHeight="1">
      <c r="A43" s="13"/>
      <c r="B43" s="76" t="s">
        <v>45</v>
      </c>
      <c r="C43" s="108" t="s">
        <v>2</v>
      </c>
      <c r="D43" s="84">
        <v>0</v>
      </c>
      <c r="E43" s="93">
        <v>46083</v>
      </c>
      <c r="F43" s="93">
        <v>46083</v>
      </c>
      <c r="G43" s="17"/>
      <c r="H43" s="5"/>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row>
    <row r="44" spans="1:64" s="43" customFormat="1" ht="30" customHeight="1">
      <c r="A44" s="13"/>
      <c r="B44" s="76" t="s">
        <v>46</v>
      </c>
      <c r="C44" s="108" t="s">
        <v>2</v>
      </c>
      <c r="D44" s="84">
        <v>0</v>
      </c>
      <c r="E44" s="93">
        <v>46083</v>
      </c>
      <c r="F44" s="93">
        <v>46083</v>
      </c>
      <c r="G44" s="17"/>
      <c r="H44" s="5"/>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row>
    <row r="45" spans="1:64" s="43" customFormat="1" ht="30" customHeight="1">
      <c r="A45" s="13"/>
      <c r="B45" s="76" t="s">
        <v>47</v>
      </c>
      <c r="C45" s="108" t="s">
        <v>2</v>
      </c>
      <c r="D45" s="84">
        <v>0</v>
      </c>
      <c r="E45" s="93">
        <v>46083</v>
      </c>
      <c r="F45" s="93">
        <v>46083</v>
      </c>
      <c r="G45" s="17"/>
      <c r="H45" s="5"/>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row>
    <row r="46" spans="1:64" s="43" customFormat="1" ht="30" customHeight="1">
      <c r="A46" s="13"/>
      <c r="B46" s="76" t="s">
        <v>48</v>
      </c>
      <c r="C46" s="108" t="s">
        <v>2</v>
      </c>
      <c r="D46" s="84">
        <v>0</v>
      </c>
      <c r="E46" s="93">
        <v>46083</v>
      </c>
      <c r="F46" s="93">
        <v>46083</v>
      </c>
      <c r="G46" s="17"/>
      <c r="H46" s="5"/>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row>
    <row r="47" spans="1:64" s="43" customFormat="1" ht="30" customHeight="1">
      <c r="A47" s="13"/>
      <c r="B47" s="76" t="s">
        <v>49</v>
      </c>
      <c r="C47" s="108" t="s">
        <v>2</v>
      </c>
      <c r="D47" s="84">
        <v>0</v>
      </c>
      <c r="E47" s="93">
        <v>46083</v>
      </c>
      <c r="F47" s="93">
        <v>46083</v>
      </c>
      <c r="G47" s="17"/>
      <c r="H47" s="5"/>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row>
    <row r="48" spans="1:64" s="43" customFormat="1" ht="30" customHeight="1">
      <c r="A48" s="13"/>
      <c r="B48" s="56"/>
      <c r="C48" s="57"/>
      <c r="D48" s="58"/>
      <c r="E48" s="59"/>
      <c r="F48" s="59"/>
      <c r="G48" s="17"/>
      <c r="H48" s="5" t="str">
        <f t="shared" ca="1" si="5"/>
        <v/>
      </c>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row>
    <row r="49" spans="1:64" s="43" customFormat="1" ht="30" customHeight="1" thickBot="1">
      <c r="A49" s="14"/>
      <c r="B49" s="60" t="s">
        <v>50</v>
      </c>
      <c r="C49" s="61"/>
      <c r="D49" s="62"/>
      <c r="E49" s="63"/>
      <c r="F49" s="64"/>
      <c r="G49" s="17"/>
      <c r="H49" s="6" t="str">
        <f t="shared" ca="1" si="5"/>
        <v/>
      </c>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row>
    <row r="50" spans="1:64" ht="30" customHeight="1">
      <c r="G50" s="3"/>
    </row>
    <row r="51" spans="1:64" ht="30" customHeight="1">
      <c r="C51" s="16"/>
      <c r="F51" s="15"/>
    </row>
    <row r="52" spans="1:64" ht="30" customHeight="1">
      <c r="C52"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47">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47">
    <cfRule type="expression" dxfId="0" priority="1">
      <formula>AND(TODAY()&gt;=I$5, TODAY()&lt;J$5)</formula>
    </cfRule>
  </conditionalFormatting>
  <conditionalFormatting sqref="D9:D14">
    <cfRule type="dataBar" priority="38">
      <dataBar>
        <cfvo type="num" val="0"/>
        <cfvo type="num" val="1"/>
        <color rgb="FF9B7FD9"/>
      </dataBar>
      <extLst>
        <ext xmlns:x14="http://schemas.microsoft.com/office/spreadsheetml/2009/9/main" uri="{B025F937-C7B1-47D3-B67F-A62EFF666E3E}">
          <x14:id>{02CDE24A-F639-41C2-B1F1-FF9A913FFF5F}</x14:id>
        </ext>
      </extLst>
    </cfRule>
  </conditionalFormatting>
  <conditionalFormatting sqref="D16:D19">
    <cfRule type="dataBar" priority="39">
      <dataBar>
        <cfvo type="num" val="0"/>
        <cfvo type="num" val="1"/>
        <color rgb="FFD97FBE"/>
      </dataBar>
      <extLst>
        <ext xmlns:x14="http://schemas.microsoft.com/office/spreadsheetml/2009/9/main" uri="{B025F937-C7B1-47D3-B67F-A62EFF666E3E}">
          <x14:id>{833DBDBB-9CF8-43F9-8F39-1C24C39AEE68}</x14:id>
        </ext>
      </extLst>
    </cfRule>
  </conditionalFormatting>
  <conditionalFormatting sqref="D21:D24">
    <cfRule type="dataBar" priority="40">
      <dataBar>
        <cfvo type="num" val="0"/>
        <cfvo type="num" val="1"/>
        <color rgb="FF7FBF9B"/>
      </dataBar>
      <extLst>
        <ext xmlns:x14="http://schemas.microsoft.com/office/spreadsheetml/2009/9/main" uri="{B025F937-C7B1-47D3-B67F-A62EFF666E3E}">
          <x14:id>{77E4366B-F532-47CA-9109-16978D2373B7}</x14:id>
        </ext>
      </extLst>
    </cfRule>
  </conditionalFormatting>
  <conditionalFormatting sqref="D26:D28">
    <cfRule type="dataBar" priority="41">
      <dataBar>
        <cfvo type="num" val="0"/>
        <cfvo type="num" val="1"/>
        <color rgb="FFD9B84D"/>
      </dataBar>
      <extLst>
        <ext xmlns:x14="http://schemas.microsoft.com/office/spreadsheetml/2009/9/main" uri="{B025F937-C7B1-47D3-B67F-A62EFF666E3E}">
          <x14:id>{46A072C6-7A4A-4C74-A2E1-86E96BEE2F45}</x14:id>
        </ext>
      </extLst>
    </cfRule>
  </conditionalFormatting>
  <conditionalFormatting sqref="D30:D34">
    <cfRule type="dataBar" priority="42">
      <dataBar>
        <cfvo type="num" val="0"/>
        <cfvo type="num" val="1"/>
        <color rgb="FFD9C666"/>
      </dataBar>
      <extLst>
        <ext xmlns:x14="http://schemas.microsoft.com/office/spreadsheetml/2009/9/main" uri="{B025F937-C7B1-47D3-B67F-A62EFF666E3E}">
          <x14:id>{0D53D96D-5A3E-468D-B8A0-A72878DD034C}</x14:id>
        </ext>
      </extLst>
    </cfRule>
  </conditionalFormatting>
  <conditionalFormatting sqref="D36:D38">
    <cfRule type="dataBar" priority="43">
      <dataBar>
        <cfvo type="num" val="0"/>
        <cfvo type="num" val="1"/>
        <color rgb="FFD9C666"/>
      </dataBar>
      <extLst>
        <ext xmlns:x14="http://schemas.microsoft.com/office/spreadsheetml/2009/9/main" uri="{B025F937-C7B1-47D3-B67F-A62EFF666E3E}">
          <x14:id>{080A2687-8086-4966-8A38-1CD7FF1DD603}</x14:id>
        </ext>
      </extLst>
    </cfRule>
  </conditionalFormatting>
  <conditionalFormatting sqref="D40:D47">
    <cfRule type="dataBar" priority="44">
      <dataBar>
        <cfvo type="num" val="0"/>
        <cfvo type="num" val="1"/>
        <color rgb="FFD9C666"/>
      </dataBar>
      <extLst>
        <ext xmlns:x14="http://schemas.microsoft.com/office/spreadsheetml/2009/9/main" uri="{B025F937-C7B1-47D3-B67F-A62EFF666E3E}">
          <x14:id>{09CB7AEA-5ABD-4477-8E6A-A5F77CDA9593}</x14:id>
        </ext>
      </extLst>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9"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02CDE24A-F639-41C2-B1F1-FF9A913FFF5F}">
            <x14:dataBar minLength="0" maxLength="100" gradient="0" direction="leftToRight" negativeBarColorSameAsPositive="1" axisPosition="none">
              <x14:cfvo type="num">
                <xm:f>0</xm:f>
              </x14:cfvo>
              <x14:cfvo type="num">
                <xm:f>1</xm:f>
              </x14:cfvo>
            </x14:dataBar>
          </x14:cfRule>
          <xm:sqref>D9:D14</xm:sqref>
        </x14:conditionalFormatting>
        <x14:conditionalFormatting xmlns:xm="http://schemas.microsoft.com/office/excel/2006/main">
          <x14:cfRule type="dataBar" id="{833DBDBB-9CF8-43F9-8F39-1C24C39AEE68}">
            <x14:dataBar minLength="0" maxLength="100" gradient="0" direction="leftToRight" negativeBarColorSameAsPositive="1" axisPosition="none">
              <x14:cfvo type="num">
                <xm:f>0</xm:f>
              </x14:cfvo>
              <x14:cfvo type="num">
                <xm:f>1</xm:f>
              </x14:cfvo>
            </x14:dataBar>
          </x14:cfRule>
          <xm:sqref>D16:D19</xm:sqref>
        </x14:conditionalFormatting>
        <x14:conditionalFormatting xmlns:xm="http://schemas.microsoft.com/office/excel/2006/main">
          <x14:cfRule type="dataBar" id="{77E4366B-F532-47CA-9109-16978D2373B7}">
            <x14:dataBar minLength="0" maxLength="100" gradient="0" direction="leftToRight" negativeBarColorSameAsPositive="1" axisPosition="none">
              <x14:cfvo type="num">
                <xm:f>0</xm:f>
              </x14:cfvo>
              <x14:cfvo type="num">
                <xm:f>1</xm:f>
              </x14:cfvo>
            </x14:dataBar>
          </x14:cfRule>
          <xm:sqref>D21:D24</xm:sqref>
        </x14:conditionalFormatting>
        <x14:conditionalFormatting xmlns:xm="http://schemas.microsoft.com/office/excel/2006/main">
          <x14:cfRule type="dataBar" id="{46A072C6-7A4A-4C74-A2E1-86E96BEE2F45}">
            <x14:dataBar minLength="0" maxLength="100" gradient="0" direction="leftToRight" negativeBarColorSameAsPositive="1" axisPosition="none">
              <x14:cfvo type="num">
                <xm:f>0</xm:f>
              </x14:cfvo>
              <x14:cfvo type="num">
                <xm:f>1</xm:f>
              </x14:cfvo>
            </x14:dataBar>
          </x14:cfRule>
          <xm:sqref>D26:D28</xm:sqref>
        </x14:conditionalFormatting>
        <x14:conditionalFormatting xmlns:xm="http://schemas.microsoft.com/office/excel/2006/main">
          <x14:cfRule type="dataBar" id="{0D53D96D-5A3E-468D-B8A0-A72878DD034C}">
            <x14:dataBar minLength="0" maxLength="100" gradient="0" direction="leftToRight" negativeBarColorSameAsPositive="1" axisPosition="none">
              <x14:cfvo type="num">
                <xm:f>0</xm:f>
              </x14:cfvo>
              <x14:cfvo type="num">
                <xm:f>1</xm:f>
              </x14:cfvo>
            </x14:dataBar>
          </x14:cfRule>
          <xm:sqref>D30:D34</xm:sqref>
        </x14:conditionalFormatting>
        <x14:conditionalFormatting xmlns:xm="http://schemas.microsoft.com/office/excel/2006/main">
          <x14:cfRule type="dataBar" id="{080A2687-8086-4966-8A38-1CD7FF1DD603}">
            <x14:dataBar minLength="0" maxLength="100" gradient="0" direction="leftToRight" negativeBarColorSameAsPositive="1" axisPosition="none">
              <x14:cfvo type="num">
                <xm:f>0</xm:f>
              </x14:cfvo>
              <x14:cfvo type="num">
                <xm:f>1</xm:f>
              </x14:cfvo>
            </x14:dataBar>
          </x14:cfRule>
          <xm:sqref>D36:D38</xm:sqref>
        </x14:conditionalFormatting>
        <x14:conditionalFormatting xmlns:xm="http://schemas.microsoft.com/office/excel/2006/main">
          <x14:cfRule type="dataBar" id="{09CB7AEA-5ABD-4477-8E6A-A5F77CDA9593}">
            <x14:dataBar minLength="0" maxLength="100" gradient="0" direction="leftToRight" negativeBarColorSameAsPositive="1" axisPosition="none">
              <x14:cfvo type="num">
                <xm:f>0</xm:f>
              </x14:cfvo>
              <x14:cfvo type="num">
                <xm:f>1</xm:f>
              </x14:cfvo>
            </x14:dataBar>
          </x14:cfRule>
          <xm:sqref>D40:D47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69" t="s">
        <v>51</v>
      </c>
      <c r="B2" s="8"/>
    </row>
    <row r="3" spans="1:2" s="11" customFormat="1" ht="27" customHeight="1">
      <c r="A3" s="70"/>
      <c r="B3" s="12"/>
    </row>
    <row r="4" spans="1:2" s="10" customFormat="1" ht="30">
      <c r="A4" s="71" t="s">
        <v>52</v>
      </c>
    </row>
    <row r="5" spans="1:2" ht="74.25" customHeight="1">
      <c r="A5" s="72" t="s">
        <v>53</v>
      </c>
    </row>
    <row r="6" spans="1:2" ht="26.25" customHeight="1">
      <c r="A6" s="71" t="s">
        <v>54</v>
      </c>
    </row>
    <row r="7" spans="1:2" s="7" customFormat="1" ht="205.15" customHeight="1">
      <c r="A7" s="73" t="s">
        <v>55</v>
      </c>
    </row>
    <row r="8" spans="1:2" s="10" customFormat="1" ht="30">
      <c r="A8" s="71" t="s">
        <v>56</v>
      </c>
    </row>
    <row r="9" spans="1:2" ht="41.45">
      <c r="A9" s="72" t="s">
        <v>57</v>
      </c>
    </row>
    <row r="10" spans="1:2" s="7" customFormat="1" ht="28.15" customHeight="1">
      <c r="A10" s="74" t="s">
        <v>58</v>
      </c>
    </row>
    <row r="11" spans="1:2" s="10" customFormat="1" ht="30">
      <c r="A11" s="71" t="s">
        <v>59</v>
      </c>
    </row>
    <row r="12" spans="1:2" ht="27.6">
      <c r="A12" s="72" t="s">
        <v>60</v>
      </c>
    </row>
    <row r="13" spans="1:2" s="7" customFormat="1" ht="28.15" customHeight="1">
      <c r="A13" s="74" t="s">
        <v>61</v>
      </c>
    </row>
    <row r="14" spans="1:2" s="10" customFormat="1" ht="30">
      <c r="A14" s="71" t="s">
        <v>62</v>
      </c>
    </row>
    <row r="15" spans="1:2" ht="75" customHeight="1">
      <c r="A15" s="72" t="s">
        <v>63</v>
      </c>
    </row>
    <row r="16" spans="1:2" ht="69">
      <c r="A16" s="72" t="s">
        <v>64</v>
      </c>
    </row>
    <row r="17" spans="1:1">
      <c r="A17" s="75"/>
    </row>
    <row r="18" spans="1:1">
      <c r="A18" s="75"/>
    </row>
    <row r="19" spans="1:1">
      <c r="A19" s="75"/>
    </row>
    <row r="20" spans="1:1">
      <c r="A20" s="75"/>
    </row>
    <row r="21" spans="1:1">
      <c r="A21" s="75"/>
    </row>
    <row r="22" spans="1:1">
      <c r="A22" s="75"/>
    </row>
    <row r="23" spans="1:1">
      <c r="A23" s="75"/>
    </row>
    <row r="24" spans="1:1">
      <c r="A24" s="7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C2348D59-3426-404A-A0C5-6456F6613ED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Heil, Max</cp:lastModifiedBy>
  <cp:revision/>
  <dcterms:created xsi:type="dcterms:W3CDTF">2022-03-11T22:41:12Z</dcterms:created>
  <dcterms:modified xsi:type="dcterms:W3CDTF">2026-02-21T22:35:39Z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